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NozoeYuki\Documents\GitHub\Fugedaku_TeamKagoshima\"/>
    </mc:Choice>
  </mc:AlternateContent>
  <xr:revisionPtr revIDLastSave="0" documentId="13_ncr:1_{EB943968-0C56-4CF7-A336-503A1271391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コスト表" sheetId="2" r:id="rId2"/>
  </sheets>
  <definedNames>
    <definedName name="_xlnm._FilterDatabase" localSheetId="1" hidden="1">コスト表!$B$2:$I$36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2" l="1"/>
  <c r="M8" i="2"/>
  <c r="M7" i="2"/>
  <c r="M6" i="2"/>
</calcChain>
</file>

<file path=xl/sharedStrings.xml><?xml version="1.0" encoding="utf-8"?>
<sst xmlns="http://schemas.openxmlformats.org/spreadsheetml/2006/main" count="249" uniqueCount="77">
  <si>
    <t>プレイヤー</t>
    <phoneticPr fontId="1"/>
  </si>
  <si>
    <t>ステージ</t>
    <phoneticPr fontId="1"/>
  </si>
  <si>
    <t>ギミック</t>
    <phoneticPr fontId="1"/>
  </si>
  <si>
    <t>UI</t>
    <phoneticPr fontId="1"/>
  </si>
  <si>
    <t>素材探し</t>
    <rPh sb="0" eb="3">
      <t>ソザイサガ</t>
    </rPh>
    <phoneticPr fontId="1"/>
  </si>
  <si>
    <t>タイトルシーン</t>
    <phoneticPr fontId="1"/>
  </si>
  <si>
    <t>リザルトシーン</t>
    <phoneticPr fontId="1"/>
  </si>
  <si>
    <t>石田</t>
    <rPh sb="0" eb="2">
      <t>イシダ</t>
    </rPh>
    <phoneticPr fontId="1"/>
  </si>
  <si>
    <t>野添</t>
    <rPh sb="0" eb="2">
      <t>ノゾエ</t>
    </rPh>
    <phoneticPr fontId="1"/>
  </si>
  <si>
    <t>樋口</t>
    <rPh sb="0" eb="2">
      <t>ヒグチ</t>
    </rPh>
    <phoneticPr fontId="1"/>
  </si>
  <si>
    <t>山下</t>
    <rPh sb="0" eb="2">
      <t>ヤマシタ</t>
    </rPh>
    <phoneticPr fontId="1"/>
  </si>
  <si>
    <t>玉利</t>
    <rPh sb="0" eb="2">
      <t>タマリ</t>
    </rPh>
    <phoneticPr fontId="1"/>
  </si>
  <si>
    <t>UI（メインシーン）</t>
    <phoneticPr fontId="1"/>
  </si>
  <si>
    <t>全員</t>
    <rPh sb="0" eb="2">
      <t>ゼンイン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</si>
  <si>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</si>
  <si>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</si>
  <si>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</si>
  <si>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</si>
  <si>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作業工数</t>
    <rPh sb="0" eb="4">
      <t>サギョウコウスウ</t>
    </rPh>
    <phoneticPr fontId="1"/>
  </si>
  <si>
    <t>実コスト</t>
    <rPh sb="0" eb="1">
      <t>ジツ</t>
    </rPh>
    <phoneticPr fontId="1"/>
  </si>
  <si>
    <t>進捗状況</t>
    <rPh sb="0" eb="4">
      <t>シンチョクジョウキョウ</t>
    </rPh>
    <phoneticPr fontId="1"/>
  </si>
  <si>
    <t>移動</t>
    <rPh sb="0" eb="2">
      <t>イドウ</t>
    </rPh>
    <phoneticPr fontId="1"/>
  </si>
  <si>
    <t>アイテム取得処理</t>
    <rPh sb="4" eb="8">
      <t>シュトクショリ</t>
    </rPh>
    <phoneticPr fontId="1"/>
  </si>
  <si>
    <t>壁に反射する判定</t>
    <rPh sb="0" eb="1">
      <t>カベ</t>
    </rPh>
    <rPh sb="2" eb="4">
      <t>ハンシャ</t>
    </rPh>
    <rPh sb="6" eb="8">
      <t>ハンテイ</t>
    </rPh>
    <phoneticPr fontId="1"/>
  </si>
  <si>
    <t>移動アニメーション</t>
    <rPh sb="0" eb="2">
      <t>イドウ</t>
    </rPh>
    <phoneticPr fontId="1"/>
  </si>
  <si>
    <t>ジャンプアニメーション</t>
    <phoneticPr fontId="1"/>
  </si>
  <si>
    <t>落下時のアニメーション</t>
    <rPh sb="0" eb="2">
      <t>ラッカ</t>
    </rPh>
    <rPh sb="2" eb="3">
      <t>ジ</t>
    </rPh>
    <phoneticPr fontId="1"/>
  </si>
  <si>
    <t>足場の当たり判定</t>
    <rPh sb="0" eb="2">
      <t>アシバ</t>
    </rPh>
    <rPh sb="3" eb="4">
      <t>ア</t>
    </rPh>
    <rPh sb="6" eb="8">
      <t>ハンテイ</t>
    </rPh>
    <phoneticPr fontId="1"/>
  </si>
  <si>
    <t>足場の配置</t>
    <rPh sb="0" eb="2">
      <t>アシバ</t>
    </rPh>
    <rPh sb="3" eb="5">
      <t>ハイチ</t>
    </rPh>
    <phoneticPr fontId="1"/>
  </si>
  <si>
    <t>カメラ移動</t>
    <rPh sb="3" eb="5">
      <t>イドウ</t>
    </rPh>
    <phoneticPr fontId="1"/>
  </si>
  <si>
    <t>滑る床</t>
    <rPh sb="0" eb="1">
      <t>スベ</t>
    </rPh>
    <rPh sb="2" eb="3">
      <t>ユカ</t>
    </rPh>
    <phoneticPr fontId="1"/>
  </si>
  <si>
    <t>風</t>
    <rPh sb="0" eb="1">
      <t>カゼ</t>
    </rPh>
    <phoneticPr fontId="1"/>
  </si>
  <si>
    <t>火山灰</t>
    <rPh sb="0" eb="3">
      <t>カザンバイ</t>
    </rPh>
    <phoneticPr fontId="1"/>
  </si>
  <si>
    <t>沼</t>
    <rPh sb="0" eb="1">
      <t>ヌマ</t>
    </rPh>
    <phoneticPr fontId="1"/>
  </si>
  <si>
    <t>アイテム</t>
    <phoneticPr fontId="1"/>
  </si>
  <si>
    <t>ジャンプ回数の保存</t>
    <rPh sb="4" eb="6">
      <t>カイスウ</t>
    </rPh>
    <rPh sb="7" eb="9">
      <t>ホゾン</t>
    </rPh>
    <phoneticPr fontId="1"/>
  </si>
  <si>
    <t>風アニメーション</t>
    <rPh sb="0" eb="1">
      <t>カゼ</t>
    </rPh>
    <phoneticPr fontId="1"/>
  </si>
  <si>
    <t>火山灰アニメーション</t>
    <rPh sb="0" eb="3">
      <t>カザンバイ</t>
    </rPh>
    <phoneticPr fontId="1"/>
  </si>
  <si>
    <t>時間表示</t>
    <rPh sb="0" eb="4">
      <t>ジカンヒョウジ</t>
    </rPh>
    <phoneticPr fontId="1"/>
  </si>
  <si>
    <t>アイテムの状態表示</t>
    <rPh sb="5" eb="7">
      <t>ジョウタイ</t>
    </rPh>
    <rPh sb="7" eb="9">
      <t>ヒョウジ</t>
    </rPh>
    <phoneticPr fontId="1"/>
  </si>
  <si>
    <t>ポーズ画面関係</t>
    <rPh sb="3" eb="5">
      <t>ガメン</t>
    </rPh>
    <rPh sb="5" eb="7">
      <t>カンケイ</t>
    </rPh>
    <phoneticPr fontId="1"/>
  </si>
  <si>
    <t>ロゴが動くアニメーション</t>
    <rPh sb="3" eb="4">
      <t>ウゴ</t>
    </rPh>
    <phoneticPr fontId="1"/>
  </si>
  <si>
    <t>UIと配置</t>
    <rPh sb="3" eb="5">
      <t>ハイチ</t>
    </rPh>
    <phoneticPr fontId="1"/>
  </si>
  <si>
    <t>落下回数の保存</t>
    <rPh sb="0" eb="2">
      <t>ラッカ</t>
    </rPh>
    <rPh sb="2" eb="4">
      <t>カイスウ</t>
    </rPh>
    <rPh sb="5" eb="7">
      <t>ホゾン</t>
    </rPh>
    <phoneticPr fontId="1"/>
  </si>
  <si>
    <t>ジャンプ（溜める）</t>
    <rPh sb="5" eb="6">
      <t>タ</t>
    </rPh>
    <phoneticPr fontId="1"/>
  </si>
  <si>
    <t>サウンド</t>
    <phoneticPr fontId="1"/>
  </si>
  <si>
    <t>BGM</t>
    <phoneticPr fontId="1"/>
  </si>
  <si>
    <t>SE</t>
    <phoneticPr fontId="1"/>
  </si>
  <si>
    <t>録音</t>
    <rPh sb="0" eb="2">
      <t>ロクオン</t>
    </rPh>
    <phoneticPr fontId="1"/>
  </si>
  <si>
    <t>担当の理由</t>
    <rPh sb="0" eb="2">
      <t>タントウ</t>
    </rPh>
    <rPh sb="3" eb="5">
      <t>リユウ</t>
    </rPh>
    <phoneticPr fontId="1"/>
  </si>
  <si>
    <t>担当</t>
    <rPh sb="0" eb="2">
      <t>タントウ</t>
    </rPh>
    <phoneticPr fontId="1"/>
  </si>
  <si>
    <t>シーン遷移</t>
    <rPh sb="3" eb="5">
      <t>センイ</t>
    </rPh>
    <phoneticPr fontId="1"/>
  </si>
  <si>
    <t>S</t>
    <phoneticPr fontId="1"/>
  </si>
  <si>
    <t>A</t>
    <phoneticPr fontId="1"/>
  </si>
  <si>
    <t>B</t>
    <phoneticPr fontId="1"/>
  </si>
  <si>
    <t>素材集め</t>
    <rPh sb="0" eb="3">
      <t>ソザイアツ</t>
    </rPh>
    <phoneticPr fontId="1"/>
  </si>
  <si>
    <t>ステージモデル</t>
    <phoneticPr fontId="1"/>
  </si>
  <si>
    <t>プレイヤーモデル</t>
    <phoneticPr fontId="1"/>
  </si>
  <si>
    <t>未着手</t>
    <rPh sb="0" eb="3">
      <t>ミチャクシュ</t>
    </rPh>
    <phoneticPr fontId="1"/>
  </si>
  <si>
    <t>ステージ選択シーン</t>
    <rPh sb="4" eb="6">
      <t>センタク</t>
    </rPh>
    <phoneticPr fontId="1"/>
  </si>
  <si>
    <t>シーン遷移とUI、ステージ選択script</t>
    <rPh sb="3" eb="5">
      <t>センイ</t>
    </rPh>
    <rPh sb="13" eb="15">
      <t>センタク</t>
    </rPh>
    <phoneticPr fontId="1"/>
  </si>
  <si>
    <t>1コスト1時間</t>
    <rPh sb="5" eb="7">
      <t>ジカン</t>
    </rPh>
    <phoneticPr fontId="1"/>
  </si>
  <si>
    <t>時間の保存</t>
    <rPh sb="0" eb="2">
      <t>ジカン</t>
    </rPh>
    <rPh sb="3" eb="5">
      <t>ホゾン</t>
    </rPh>
    <phoneticPr fontId="1"/>
  </si>
  <si>
    <t>落下した回数をリザルトシーンに表示</t>
  </si>
  <si>
    <t>クリアタイムとジャンプ回数の表示</t>
    <rPh sb="14" eb="16">
      <t>ヒョウジ</t>
    </rPh>
    <phoneticPr fontId="1"/>
  </si>
  <si>
    <t>プロト</t>
  </si>
  <si>
    <t>プロト</t>
    <phoneticPr fontId="1"/>
  </si>
  <si>
    <t>ベータ</t>
  </si>
  <si>
    <t>ベータ</t>
    <phoneticPr fontId="1"/>
  </si>
  <si>
    <t>アルファ</t>
  </si>
  <si>
    <t>アルファ</t>
    <phoneticPr fontId="1"/>
  </si>
  <si>
    <t>玉利と山下は自宅にPCが現状ないため、部活内での作業となるため</t>
    <rPh sb="6" eb="8">
      <t>ジタク</t>
    </rPh>
    <rPh sb="12" eb="14">
      <t>ゲンジョウ</t>
    </rPh>
    <rPh sb="19" eb="22">
      <t>ブカツナイ</t>
    </rPh>
    <rPh sb="24" eb="26">
      <t>サギョウ</t>
    </rPh>
    <phoneticPr fontId="1"/>
  </si>
  <si>
    <t>予想コスト</t>
  </si>
  <si>
    <t>残りコスト</t>
  </si>
  <si>
    <t>実コスト</t>
  </si>
  <si>
    <t>全体の作業時間</t>
  </si>
  <si>
    <t>作業中(作業工数)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</si>
</sst>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000000"/>
      <name val="Yu Gothic"/>
      <family val="3"/>
      <charset val="128"/>
      <scheme val="minor"/>
    </font>
    <font>
      <b/>
      <sz val="11"/>
      <color rgb="FF000000"/>
      <name val="Yu Gothic"/>
      <family val="3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0000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7" borderId="4" xfId="0" applyFill="1" applyBorder="1"/>
    <xf numFmtId="0" fontId="0" fillId="3" borderId="4" xfId="0" applyFill="1" applyBorder="1"/>
    <xf numFmtId="0" fontId="0" fillId="4" borderId="4" xfId="0" applyFill="1" applyBorder="1"/>
    <xf numFmtId="0" fontId="0" fillId="8" borderId="8" xfId="0" applyFill="1" applyBorder="1"/>
    <xf numFmtId="0" fontId="0" fillId="7" borderId="2" xfId="0" applyFill="1" applyBorder="1"/>
    <xf numFmtId="0" fontId="0" fillId="0" borderId="10" xfId="0" applyBorder="1"/>
    <xf numFmtId="0" fontId="0" fillId="0" borderId="11" xfId="0" applyBorder="1" applyAlignment="1">
      <alignment vertical="center"/>
    </xf>
    <xf numFmtId="0" fontId="2" fillId="3" borderId="8" xfId="0" applyFont="1" applyFill="1" applyBorder="1"/>
    <xf numFmtId="0" fontId="0" fillId="9" borderId="8" xfId="0" applyFill="1" applyBorder="1"/>
    <xf numFmtId="0" fontId="0" fillId="9" borderId="10" xfId="0" applyFill="1" applyBorder="1"/>
    <xf numFmtId="0" fontId="0" fillId="10" borderId="8" xfId="0" applyFill="1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11" borderId="12" xfId="0" applyFont="1" applyFill="1" applyBorder="1"/>
    <xf numFmtId="0" fontId="4" fillId="11" borderId="12" xfId="0" applyFont="1" applyFill="1" applyBorder="1" applyAlignment="1">
      <alignment horizontal="center" vertical="center"/>
    </xf>
    <xf numFmtId="0" fontId="4" fillId="12" borderId="12" xfId="0" applyFont="1" applyFill="1" applyBorder="1"/>
    <xf numFmtId="0" fontId="4" fillId="13" borderId="12" xfId="0" applyFont="1" applyFill="1" applyBorder="1"/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0" fillId="16" borderId="8" xfId="0" applyFill="1" applyBorder="1" applyAlignment="1">
      <alignment horizontal="center"/>
    </xf>
    <xf numFmtId="0" fontId="4" fillId="17" borderId="12" xfId="0" applyFont="1" applyFill="1" applyBorder="1"/>
    <xf numFmtId="0" fontId="0" fillId="16" borderId="10" xfId="0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6969"/>
      <color rgb="FFDF81C0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8" sqref="B8"/>
    </sheetView>
  </sheetViews>
  <sheetFormatPr defaultRowHeight="18.75"/>
  <cols>
    <col min="2" max="2" width="18.875" customWidth="1"/>
  </cols>
  <sheetData>
    <row r="1" spans="1:2">
      <c r="A1" s="1" t="s">
        <v>7</v>
      </c>
      <c r="B1" t="s">
        <v>0</v>
      </c>
    </row>
    <row r="2" spans="1:2">
      <c r="A2" s="2" t="s">
        <v>8</v>
      </c>
      <c r="B2" t="s">
        <v>1</v>
      </c>
    </row>
    <row r="3" spans="1:2">
      <c r="A3" s="3" t="s">
        <v>9</v>
      </c>
      <c r="B3" t="s">
        <v>2</v>
      </c>
    </row>
    <row r="4" spans="1:2">
      <c r="A4" s="3" t="s">
        <v>9</v>
      </c>
      <c r="B4" t="s">
        <v>12</v>
      </c>
    </row>
    <row r="5" spans="1:2">
      <c r="A5" s="4" t="s">
        <v>10</v>
      </c>
      <c r="B5" t="s">
        <v>5</v>
      </c>
    </row>
    <row r="6" spans="1:2">
      <c r="A6" s="5" t="s">
        <v>11</v>
      </c>
      <c r="B6" t="s">
        <v>6</v>
      </c>
    </row>
    <row r="7" spans="1:2">
      <c r="A7" t="s">
        <v>13</v>
      </c>
      <c r="B7" t="s">
        <v>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8566-FC65-4B72-B44D-26E55DC84C88}">
  <dimension ref="B1:O41"/>
  <sheetViews>
    <sheetView tabSelected="1" topLeftCell="A15" zoomScale="92" zoomScaleNormal="92" workbookViewId="0">
      <selection activeCell="D1" sqref="D1"/>
    </sheetView>
  </sheetViews>
  <sheetFormatPr defaultRowHeight="18.75"/>
  <cols>
    <col min="3" max="3" width="26.25" customWidth="1"/>
    <col min="4" max="4" width="61.125" customWidth="1"/>
    <col min="5" max="5" width="14.125" customWidth="1"/>
    <col min="6" max="6" width="13.75" customWidth="1"/>
    <col min="7" max="7" width="14.625" customWidth="1"/>
    <col min="8" max="8" width="13.75" customWidth="1"/>
    <col min="9" max="9" width="11.875" customWidth="1"/>
    <col min="12" max="12" width="22.125" customWidth="1"/>
    <col min="13" max="13" width="13.625" customWidth="1"/>
    <col min="14" max="14" width="13" customWidth="1"/>
    <col min="15" max="15" width="9.375" customWidth="1"/>
  </cols>
  <sheetData>
    <row r="1" spans="2:15" ht="19.5" thickBot="1">
      <c r="B1" s="8"/>
      <c r="C1" s="6" t="s">
        <v>61</v>
      </c>
      <c r="D1" s="6"/>
      <c r="E1" s="6"/>
      <c r="F1" s="8"/>
      <c r="G1" s="6"/>
      <c r="H1" s="6"/>
      <c r="I1" s="6"/>
      <c r="J1" s="6"/>
      <c r="K1" s="6"/>
      <c r="L1" s="6"/>
    </row>
    <row r="2" spans="2:15" ht="19.5" thickBot="1">
      <c r="B2" s="9" t="s">
        <v>50</v>
      </c>
      <c r="C2" s="9" t="s">
        <v>14</v>
      </c>
      <c r="D2" s="12" t="s">
        <v>15</v>
      </c>
      <c r="E2" s="12" t="s">
        <v>16</v>
      </c>
      <c r="F2" s="12" t="s">
        <v>17</v>
      </c>
      <c r="G2" s="12" t="s">
        <v>18</v>
      </c>
      <c r="H2" s="12" t="s">
        <v>19</v>
      </c>
      <c r="I2" s="12" t="s">
        <v>20</v>
      </c>
      <c r="J2" s="7"/>
    </row>
    <row r="3" spans="2:15">
      <c r="B3" s="17" t="s">
        <v>7</v>
      </c>
      <c r="C3" s="10" t="s">
        <v>0</v>
      </c>
      <c r="D3" s="6" t="s">
        <v>21</v>
      </c>
      <c r="E3" s="25" t="s">
        <v>52</v>
      </c>
      <c r="F3" s="33" t="s">
        <v>66</v>
      </c>
      <c r="G3" s="24">
        <v>1</v>
      </c>
      <c r="H3" s="24"/>
      <c r="I3" s="24" t="s">
        <v>58</v>
      </c>
    </row>
    <row r="4" spans="2:15">
      <c r="B4" s="13" t="s">
        <v>7</v>
      </c>
      <c r="C4" s="11" t="s">
        <v>0</v>
      </c>
      <c r="D4" t="s">
        <v>43</v>
      </c>
      <c r="E4" s="26" t="s">
        <v>54</v>
      </c>
      <c r="F4" s="35" t="s">
        <v>70</v>
      </c>
      <c r="G4" s="26">
        <v>1</v>
      </c>
      <c r="H4" s="26"/>
      <c r="I4" s="26" t="s">
        <v>58</v>
      </c>
    </row>
    <row r="5" spans="2:15">
      <c r="B5" s="13" t="s">
        <v>7</v>
      </c>
      <c r="C5" s="11" t="s">
        <v>0</v>
      </c>
      <c r="D5" t="s">
        <v>44</v>
      </c>
      <c r="E5" s="26" t="s">
        <v>52</v>
      </c>
      <c r="F5" s="34" t="s">
        <v>66</v>
      </c>
      <c r="G5" s="26">
        <v>2</v>
      </c>
      <c r="H5" s="26"/>
      <c r="I5" s="26" t="s">
        <v>58</v>
      </c>
      <c r="L5" s="29"/>
      <c r="M5" s="29" t="s">
        <v>72</v>
      </c>
      <c r="N5" s="29" t="s">
        <v>73</v>
      </c>
      <c r="O5" s="29" t="s">
        <v>74</v>
      </c>
    </row>
    <row r="6" spans="2:15">
      <c r="B6" s="13" t="s">
        <v>7</v>
      </c>
      <c r="C6" s="11" t="s">
        <v>0</v>
      </c>
      <c r="D6" t="s">
        <v>35</v>
      </c>
      <c r="E6" s="26" t="s">
        <v>52</v>
      </c>
      <c r="F6" s="35" t="s">
        <v>70</v>
      </c>
      <c r="G6" s="26">
        <v>1</v>
      </c>
      <c r="H6" s="26"/>
      <c r="I6" s="26" t="s">
        <v>58</v>
      </c>
      <c r="L6" s="30" t="s">
        <v>75</v>
      </c>
      <c r="M6" s="29">
        <f>SUM(G3:G38)</f>
        <v>57</v>
      </c>
      <c r="N6" s="29"/>
      <c r="O6" s="29"/>
    </row>
    <row r="7" spans="2:15">
      <c r="B7" s="13" t="s">
        <v>7</v>
      </c>
      <c r="C7" s="11" t="s">
        <v>0</v>
      </c>
      <c r="D7" t="s">
        <v>22</v>
      </c>
      <c r="E7" s="26" t="s">
        <v>52</v>
      </c>
      <c r="F7" s="34" t="s">
        <v>66</v>
      </c>
      <c r="G7" s="26">
        <v>1</v>
      </c>
      <c r="H7" s="26"/>
      <c r="I7" s="26" t="s">
        <v>58</v>
      </c>
      <c r="L7" s="31" t="s">
        <v>65</v>
      </c>
      <c r="M7" s="29">
        <f>SUMIF(F3:F38,"プロト",G3:G38)</f>
        <v>27</v>
      </c>
      <c r="N7" s="29"/>
      <c r="O7" s="29"/>
    </row>
    <row r="8" spans="2:15">
      <c r="B8" s="13" t="s">
        <v>7</v>
      </c>
      <c r="C8" s="11" t="s">
        <v>0</v>
      </c>
      <c r="D8" t="s">
        <v>23</v>
      </c>
      <c r="E8" s="26" t="s">
        <v>52</v>
      </c>
      <c r="F8" s="34" t="s">
        <v>66</v>
      </c>
      <c r="G8" s="26">
        <v>1</v>
      </c>
      <c r="H8" s="26"/>
      <c r="I8" s="26" t="s">
        <v>58</v>
      </c>
      <c r="L8" s="32" t="s">
        <v>69</v>
      </c>
      <c r="M8" s="29">
        <f>SUMIF(F3:F38,"アルファ",G3:G38)</f>
        <v>18</v>
      </c>
      <c r="N8" s="29"/>
      <c r="O8" s="29"/>
    </row>
    <row r="9" spans="2:15">
      <c r="B9" s="13" t="s">
        <v>7</v>
      </c>
      <c r="C9" s="11" t="s">
        <v>0</v>
      </c>
      <c r="D9" t="s">
        <v>24</v>
      </c>
      <c r="E9" s="26" t="s">
        <v>53</v>
      </c>
      <c r="F9" s="36" t="s">
        <v>68</v>
      </c>
      <c r="G9" s="26">
        <v>2</v>
      </c>
      <c r="H9" s="26"/>
      <c r="I9" s="26" t="s">
        <v>58</v>
      </c>
      <c r="L9" s="37" t="s">
        <v>67</v>
      </c>
      <c r="M9" s="29">
        <f>SUMIF(F3:F38,"ベータ",G3:G38)</f>
        <v>12</v>
      </c>
      <c r="N9" s="29"/>
      <c r="O9" s="29"/>
    </row>
    <row r="10" spans="2:15">
      <c r="B10" s="13" t="s">
        <v>7</v>
      </c>
      <c r="C10" s="11" t="s">
        <v>0</v>
      </c>
      <c r="D10" t="s">
        <v>25</v>
      </c>
      <c r="E10" s="26" t="s">
        <v>53</v>
      </c>
      <c r="F10" s="36" t="s">
        <v>68</v>
      </c>
      <c r="G10" s="26">
        <v>2</v>
      </c>
      <c r="H10" s="26"/>
      <c r="I10" s="26" t="s">
        <v>58</v>
      </c>
      <c r="L10" s="30" t="s">
        <v>76</v>
      </c>
      <c r="M10" s="29"/>
      <c r="N10" s="29"/>
      <c r="O10" s="29"/>
    </row>
    <row r="11" spans="2:15">
      <c r="B11" s="13" t="s">
        <v>7</v>
      </c>
      <c r="C11" s="11" t="s">
        <v>0</v>
      </c>
      <c r="D11" t="s">
        <v>26</v>
      </c>
      <c r="E11" s="26" t="s">
        <v>53</v>
      </c>
      <c r="F11" s="36" t="s">
        <v>68</v>
      </c>
      <c r="G11" s="26">
        <v>1</v>
      </c>
      <c r="H11" s="26"/>
      <c r="I11" s="26" t="s">
        <v>58</v>
      </c>
    </row>
    <row r="12" spans="2:15">
      <c r="B12" s="15" t="s">
        <v>8</v>
      </c>
      <c r="C12" s="11" t="s">
        <v>1</v>
      </c>
      <c r="D12" t="s">
        <v>28</v>
      </c>
      <c r="E12" s="26" t="s">
        <v>52</v>
      </c>
      <c r="F12" s="34" t="s">
        <v>66</v>
      </c>
      <c r="G12" s="26">
        <v>4</v>
      </c>
      <c r="H12" s="26"/>
      <c r="I12" s="26" t="s">
        <v>58</v>
      </c>
      <c r="L12" s="19"/>
    </row>
    <row r="13" spans="2:15">
      <c r="B13" s="15" t="s">
        <v>8</v>
      </c>
      <c r="C13" s="11" t="s">
        <v>1</v>
      </c>
      <c r="D13" t="s">
        <v>27</v>
      </c>
      <c r="E13" s="26" t="s">
        <v>52</v>
      </c>
      <c r="F13" s="34" t="s">
        <v>66</v>
      </c>
      <c r="G13" s="26">
        <v>3</v>
      </c>
      <c r="H13" s="26"/>
      <c r="I13" s="26" t="s">
        <v>58</v>
      </c>
    </row>
    <row r="14" spans="2:15" ht="19.5" thickBot="1">
      <c r="B14" s="15" t="s">
        <v>8</v>
      </c>
      <c r="C14" s="11" t="s">
        <v>1</v>
      </c>
      <c r="D14" t="s">
        <v>29</v>
      </c>
      <c r="E14" s="26" t="s">
        <v>52</v>
      </c>
      <c r="F14" s="34" t="s">
        <v>66</v>
      </c>
      <c r="G14" s="26">
        <v>3</v>
      </c>
      <c r="H14" s="26"/>
      <c r="I14" s="26" t="s">
        <v>58</v>
      </c>
    </row>
    <row r="15" spans="2:15" ht="19.5" thickBot="1">
      <c r="B15" s="14" t="s">
        <v>9</v>
      </c>
      <c r="C15" s="11" t="s">
        <v>2</v>
      </c>
      <c r="D15" t="s">
        <v>30</v>
      </c>
      <c r="E15" s="26" t="s">
        <v>52</v>
      </c>
      <c r="F15" s="35" t="s">
        <v>70</v>
      </c>
      <c r="G15" s="26">
        <v>1.5</v>
      </c>
      <c r="H15" s="26"/>
      <c r="I15" s="26" t="s">
        <v>58</v>
      </c>
      <c r="M15" s="9"/>
    </row>
    <row r="16" spans="2:15">
      <c r="B16" s="14" t="s">
        <v>9</v>
      </c>
      <c r="C16" s="11" t="s">
        <v>2</v>
      </c>
      <c r="D16" t="s">
        <v>31</v>
      </c>
      <c r="E16" s="26" t="s">
        <v>52</v>
      </c>
      <c r="F16" s="35" t="s">
        <v>70</v>
      </c>
      <c r="G16" s="26">
        <v>1.5</v>
      </c>
      <c r="H16" s="26"/>
      <c r="I16" s="26" t="s">
        <v>58</v>
      </c>
    </row>
    <row r="17" spans="2:9">
      <c r="B17" s="14" t="s">
        <v>9</v>
      </c>
      <c r="C17" s="11" t="s">
        <v>2</v>
      </c>
      <c r="D17" t="s">
        <v>32</v>
      </c>
      <c r="E17" s="26" t="s">
        <v>52</v>
      </c>
      <c r="F17" s="35" t="s">
        <v>70</v>
      </c>
      <c r="G17" s="26">
        <v>1.5</v>
      </c>
      <c r="H17" s="26"/>
      <c r="I17" s="26" t="s">
        <v>58</v>
      </c>
    </row>
    <row r="18" spans="2:9">
      <c r="B18" s="14" t="s">
        <v>9</v>
      </c>
      <c r="C18" s="11" t="s">
        <v>2</v>
      </c>
      <c r="D18" t="s">
        <v>33</v>
      </c>
      <c r="E18" s="26" t="s">
        <v>52</v>
      </c>
      <c r="F18" s="35" t="s">
        <v>70</v>
      </c>
      <c r="G18" s="26">
        <v>1.5</v>
      </c>
      <c r="H18" s="26"/>
      <c r="I18" s="26" t="s">
        <v>58</v>
      </c>
    </row>
    <row r="19" spans="2:9">
      <c r="B19" s="14" t="s">
        <v>9</v>
      </c>
      <c r="C19" s="11" t="s">
        <v>2</v>
      </c>
      <c r="D19" t="s">
        <v>34</v>
      </c>
      <c r="E19" s="26" t="s">
        <v>52</v>
      </c>
      <c r="F19" s="34" t="s">
        <v>66</v>
      </c>
      <c r="G19" s="26">
        <v>1.5</v>
      </c>
      <c r="H19" s="26"/>
      <c r="I19" s="26" t="s">
        <v>58</v>
      </c>
    </row>
    <row r="20" spans="2:9">
      <c r="B20" s="14" t="s">
        <v>9</v>
      </c>
      <c r="C20" s="11" t="s">
        <v>2</v>
      </c>
      <c r="D20" t="s">
        <v>36</v>
      </c>
      <c r="E20" s="26" t="s">
        <v>53</v>
      </c>
      <c r="F20" s="35" t="s">
        <v>70</v>
      </c>
      <c r="G20" s="26">
        <v>1.5</v>
      </c>
      <c r="H20" s="26"/>
      <c r="I20" s="26" t="s">
        <v>58</v>
      </c>
    </row>
    <row r="21" spans="2:9">
      <c r="B21" s="14" t="s">
        <v>9</v>
      </c>
      <c r="C21" s="11" t="s">
        <v>2</v>
      </c>
      <c r="D21" t="s">
        <v>37</v>
      </c>
      <c r="E21" s="26" t="s">
        <v>53</v>
      </c>
      <c r="F21" s="35" t="s">
        <v>70</v>
      </c>
      <c r="G21" s="26">
        <v>1.5</v>
      </c>
      <c r="H21" s="26"/>
      <c r="I21" s="26" t="s">
        <v>58</v>
      </c>
    </row>
    <row r="22" spans="2:9">
      <c r="B22" s="14" t="s">
        <v>9</v>
      </c>
      <c r="C22" s="11" t="s">
        <v>2</v>
      </c>
      <c r="D22" t="s">
        <v>62</v>
      </c>
      <c r="E22" s="26" t="s">
        <v>52</v>
      </c>
      <c r="F22" s="35" t="s">
        <v>70</v>
      </c>
      <c r="G22" s="26">
        <v>0.5</v>
      </c>
      <c r="H22" s="26"/>
      <c r="I22" s="26" t="s">
        <v>58</v>
      </c>
    </row>
    <row r="23" spans="2:9">
      <c r="B23" s="14" t="s">
        <v>9</v>
      </c>
      <c r="C23" s="11" t="s">
        <v>3</v>
      </c>
      <c r="D23" t="s">
        <v>40</v>
      </c>
      <c r="E23" s="26" t="s">
        <v>52</v>
      </c>
      <c r="F23" s="35" t="s">
        <v>70</v>
      </c>
      <c r="G23" s="26">
        <v>1</v>
      </c>
      <c r="H23" s="26"/>
      <c r="I23" s="26" t="s">
        <v>58</v>
      </c>
    </row>
    <row r="24" spans="2:9">
      <c r="B24" s="14" t="s">
        <v>9</v>
      </c>
      <c r="C24" s="11" t="s">
        <v>3</v>
      </c>
      <c r="D24" t="s">
        <v>38</v>
      </c>
      <c r="E24" s="26" t="s">
        <v>53</v>
      </c>
      <c r="F24" s="35" t="s">
        <v>70</v>
      </c>
      <c r="G24" s="26">
        <v>0.5</v>
      </c>
      <c r="H24" s="26"/>
      <c r="I24" s="26" t="s">
        <v>58</v>
      </c>
    </row>
    <row r="25" spans="2:9">
      <c r="B25" s="20" t="s">
        <v>9</v>
      </c>
      <c r="C25" s="11" t="s">
        <v>3</v>
      </c>
      <c r="D25" t="s">
        <v>39</v>
      </c>
      <c r="E25" s="26" t="s">
        <v>52</v>
      </c>
      <c r="F25" s="34" t="s">
        <v>66</v>
      </c>
      <c r="G25" s="26">
        <v>1.5</v>
      </c>
      <c r="H25" s="26"/>
      <c r="I25" s="26" t="s">
        <v>58</v>
      </c>
    </row>
    <row r="26" spans="2:9">
      <c r="B26" s="23" t="s">
        <v>10</v>
      </c>
      <c r="C26" s="11" t="s">
        <v>5</v>
      </c>
      <c r="D26" t="s">
        <v>41</v>
      </c>
      <c r="E26" s="26" t="s">
        <v>53</v>
      </c>
      <c r="F26" s="36" t="s">
        <v>68</v>
      </c>
      <c r="G26" s="26">
        <v>3</v>
      </c>
      <c r="H26" s="26"/>
      <c r="I26" s="26" t="s">
        <v>58</v>
      </c>
    </row>
    <row r="27" spans="2:9">
      <c r="B27" s="23" t="s">
        <v>10</v>
      </c>
      <c r="C27" s="11" t="s">
        <v>5</v>
      </c>
      <c r="D27" t="s">
        <v>42</v>
      </c>
      <c r="E27" s="26" t="s">
        <v>52</v>
      </c>
      <c r="F27" s="34" t="s">
        <v>66</v>
      </c>
      <c r="G27" s="26">
        <v>3</v>
      </c>
      <c r="H27" s="26"/>
      <c r="I27" s="26" t="s">
        <v>58</v>
      </c>
    </row>
    <row r="28" spans="2:9">
      <c r="B28" s="23" t="s">
        <v>10</v>
      </c>
      <c r="C28" s="11" t="s">
        <v>5</v>
      </c>
      <c r="D28" t="s">
        <v>51</v>
      </c>
      <c r="E28" s="26" t="s">
        <v>52</v>
      </c>
      <c r="F28" s="34" t="s">
        <v>66</v>
      </c>
      <c r="G28" s="26">
        <v>1</v>
      </c>
      <c r="H28" s="26"/>
      <c r="I28" s="27" t="s">
        <v>58</v>
      </c>
    </row>
    <row r="29" spans="2:9">
      <c r="B29" s="23" t="s">
        <v>10</v>
      </c>
      <c r="C29" s="11" t="s">
        <v>59</v>
      </c>
      <c r="D29" t="s">
        <v>60</v>
      </c>
      <c r="E29" s="26" t="s">
        <v>52</v>
      </c>
      <c r="F29" s="34" t="s">
        <v>66</v>
      </c>
      <c r="G29" s="26">
        <v>2</v>
      </c>
      <c r="H29" s="26"/>
      <c r="I29" s="26" t="s">
        <v>58</v>
      </c>
    </row>
    <row r="30" spans="2:9">
      <c r="B30" s="16" t="s">
        <v>11</v>
      </c>
      <c r="C30" s="11" t="s">
        <v>6</v>
      </c>
      <c r="D30" t="s">
        <v>64</v>
      </c>
      <c r="E30" s="26" t="s">
        <v>52</v>
      </c>
      <c r="F30" s="35" t="s">
        <v>70</v>
      </c>
      <c r="G30" s="26">
        <v>1.5</v>
      </c>
      <c r="H30" s="26"/>
      <c r="I30" s="26" t="s">
        <v>58</v>
      </c>
    </row>
    <row r="31" spans="2:9">
      <c r="B31" s="16" t="s">
        <v>11</v>
      </c>
      <c r="C31" s="11" t="s">
        <v>6</v>
      </c>
      <c r="D31" t="s">
        <v>63</v>
      </c>
      <c r="E31" s="26" t="s">
        <v>54</v>
      </c>
      <c r="F31" s="35" t="s">
        <v>70</v>
      </c>
      <c r="G31" s="26">
        <v>2</v>
      </c>
      <c r="H31" s="26"/>
      <c r="I31" s="26" t="s">
        <v>58</v>
      </c>
    </row>
    <row r="32" spans="2:9">
      <c r="B32" s="16" t="s">
        <v>11</v>
      </c>
      <c r="C32" s="11" t="s">
        <v>6</v>
      </c>
      <c r="D32" t="s">
        <v>42</v>
      </c>
      <c r="E32" s="26" t="s">
        <v>52</v>
      </c>
      <c r="F32" s="34" t="s">
        <v>66</v>
      </c>
      <c r="G32" s="26">
        <v>2</v>
      </c>
      <c r="H32" s="26"/>
      <c r="I32" s="26" t="s">
        <v>58</v>
      </c>
    </row>
    <row r="33" spans="2:9">
      <c r="B33" s="16" t="s">
        <v>11</v>
      </c>
      <c r="C33" s="11" t="s">
        <v>6</v>
      </c>
      <c r="D33" t="s">
        <v>51</v>
      </c>
      <c r="E33" s="26" t="s">
        <v>52</v>
      </c>
      <c r="F33" s="34" t="s">
        <v>66</v>
      </c>
      <c r="G33" s="26">
        <v>1</v>
      </c>
      <c r="H33" s="26"/>
      <c r="I33" s="26" t="s">
        <v>58</v>
      </c>
    </row>
    <row r="34" spans="2:9">
      <c r="B34" s="16" t="s">
        <v>11</v>
      </c>
      <c r="C34" s="11" t="s">
        <v>45</v>
      </c>
      <c r="D34" t="s">
        <v>46</v>
      </c>
      <c r="E34" s="26" t="s">
        <v>53</v>
      </c>
      <c r="F34" s="35" t="s">
        <v>70</v>
      </c>
      <c r="G34" s="26">
        <v>0.5</v>
      </c>
      <c r="H34" s="26"/>
      <c r="I34" s="26" t="s">
        <v>58</v>
      </c>
    </row>
    <row r="35" spans="2:9">
      <c r="B35" s="16" t="s">
        <v>11</v>
      </c>
      <c r="C35" s="11" t="s">
        <v>45</v>
      </c>
      <c r="D35" t="s">
        <v>47</v>
      </c>
      <c r="E35" s="26" t="s">
        <v>53</v>
      </c>
      <c r="F35" s="35" t="s">
        <v>70</v>
      </c>
      <c r="G35" s="26">
        <v>0.5</v>
      </c>
      <c r="H35" s="26"/>
      <c r="I35" s="26" t="s">
        <v>58</v>
      </c>
    </row>
    <row r="36" spans="2:9">
      <c r="B36" s="16" t="s">
        <v>11</v>
      </c>
      <c r="C36" s="11" t="s">
        <v>45</v>
      </c>
      <c r="D36" s="11" t="s">
        <v>48</v>
      </c>
      <c r="E36" s="26" t="s">
        <v>53</v>
      </c>
      <c r="F36" s="35" t="s">
        <v>70</v>
      </c>
      <c r="G36" s="26">
        <v>0.5</v>
      </c>
      <c r="H36" s="26"/>
      <c r="I36" s="27" t="s">
        <v>58</v>
      </c>
    </row>
    <row r="37" spans="2:9">
      <c r="B37" s="21" t="s">
        <v>13</v>
      </c>
      <c r="C37" s="11" t="s">
        <v>55</v>
      </c>
      <c r="D37" s="11" t="s">
        <v>57</v>
      </c>
      <c r="E37" s="26" t="s">
        <v>52</v>
      </c>
      <c r="F37" s="36" t="s">
        <v>68</v>
      </c>
      <c r="G37" s="26">
        <v>2</v>
      </c>
      <c r="H37" s="26"/>
      <c r="I37" s="27" t="s">
        <v>58</v>
      </c>
    </row>
    <row r="38" spans="2:9" ht="19.5" thickBot="1">
      <c r="B38" s="22" t="s">
        <v>13</v>
      </c>
      <c r="C38" s="18" t="s">
        <v>55</v>
      </c>
      <c r="D38" s="18" t="s">
        <v>56</v>
      </c>
      <c r="E38" s="28" t="s">
        <v>52</v>
      </c>
      <c r="F38" s="38" t="s">
        <v>68</v>
      </c>
      <c r="G38" s="28">
        <v>2</v>
      </c>
      <c r="H38" s="28"/>
      <c r="I38" s="27" t="s">
        <v>58</v>
      </c>
    </row>
    <row r="39" spans="2:9">
      <c r="I39" s="6"/>
    </row>
    <row r="41" spans="2:9">
      <c r="C41" t="s">
        <v>49</v>
      </c>
      <c r="D41" t="s">
        <v>71</v>
      </c>
    </row>
  </sheetData>
  <autoFilter ref="B2:I36" xr:uid="{FFA18566-FC65-4B72-B44D-26E55DC84C88}"/>
  <sortState xmlns:xlrd2="http://schemas.microsoft.com/office/spreadsheetml/2017/richdata2" ref="C2:I2">
    <sortCondition ref="C2"/>
  </sortState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HigutiHaruyuki</dc:creator>
  <cp:lastModifiedBy>野添　友貴</cp:lastModifiedBy>
  <dcterms:created xsi:type="dcterms:W3CDTF">2015-06-05T18:19:34Z</dcterms:created>
  <dcterms:modified xsi:type="dcterms:W3CDTF">2026-05-12T04:39:38Z</dcterms:modified>
</cp:coreProperties>
</file>